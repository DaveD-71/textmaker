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本社\ランゲージ事業部\CD\Planning\Textbook evaluations\"/>
    </mc:Choice>
  </mc:AlternateContent>
  <bookViews>
    <workbookView xWindow="0" yWindow="0" windowWidth="19410" windowHeight="9675"/>
  </bookViews>
  <sheets>
    <sheet name="TextbookEvalForm" sheetId="2" r:id="rId1"/>
  </sheets>
  <definedNames>
    <definedName name="Cat1_Answers" localSheetId="0">TextbookEvalForm!$E$12:$I$14</definedName>
    <definedName name="Cat2_Answers" localSheetId="0">TextbookEvalForm!$E$20:$I$29</definedName>
    <definedName name="Cat3_Answers" localSheetId="0">TextbookEvalForm!$E$35:$I$37</definedName>
    <definedName name="Cat4_Answers" localSheetId="0">TextbookEvalForm!$E$43:$I$46</definedName>
    <definedName name="Cat5_Answers" localSheetId="0">TextbookEvalForm!$E$52:$I$53</definedName>
    <definedName name="Cat6_Answers" localSheetId="0">TextbookEvalForm!$E$59:$I$60</definedName>
    <definedName name="_xlnm.Print_Area" localSheetId="0">TextbookEvalForm!$B$2:$I$90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" i="2" l="1"/>
  <c r="H84" i="2" l="1"/>
  <c r="I62" i="2"/>
  <c r="I48" i="2"/>
  <c r="I31" i="2"/>
  <c r="H86" i="2" l="1"/>
  <c r="H83" i="2"/>
  <c r="F69" i="2"/>
  <c r="G69" i="2"/>
  <c r="H69" i="2"/>
  <c r="I69" i="2"/>
  <c r="E69" i="2"/>
  <c r="F67" i="2"/>
  <c r="G67" i="2"/>
  <c r="H67" i="2"/>
  <c r="I67" i="2"/>
  <c r="E67" i="2"/>
  <c r="F66" i="2"/>
  <c r="G66" i="2"/>
  <c r="H66" i="2"/>
  <c r="I66" i="2"/>
  <c r="E66" i="2"/>
  <c r="I55" i="2"/>
  <c r="I39" i="2"/>
  <c r="H88" i="2" l="1"/>
  <c r="H87" i="2"/>
  <c r="H85" i="2"/>
  <c r="I71" i="2"/>
  <c r="H71" i="2"/>
  <c r="G71" i="2"/>
  <c r="F71" i="2"/>
  <c r="E71" i="2"/>
  <c r="I70" i="2"/>
  <c r="H70" i="2"/>
  <c r="G70" i="2"/>
  <c r="F70" i="2"/>
  <c r="E70" i="2"/>
  <c r="G86" i="2" a="1"/>
  <c r="I68" i="2"/>
  <c r="H68" i="2"/>
  <c r="G68" i="2"/>
  <c r="F68" i="2"/>
  <c r="E68" i="2"/>
  <c r="G83" i="2" l="1" a="1"/>
  <c r="G83" i="2" s="1"/>
  <c r="I83" i="2" s="1"/>
  <c r="G85" i="2" a="1"/>
  <c r="G85" i="2" s="1"/>
  <c r="I85" i="2" s="1"/>
  <c r="G87" i="2" a="1"/>
  <c r="G87" i="2" s="1"/>
  <c r="I87" i="2" s="1"/>
  <c r="G88" i="2" a="1"/>
  <c r="G88" i="2" s="1"/>
  <c r="I88" i="2" s="1"/>
  <c r="G86" i="2"/>
  <c r="I86" i="2" s="1"/>
  <c r="I73" i="2"/>
  <c r="F73" i="2"/>
  <c r="H73" i="2"/>
  <c r="G73" i="2"/>
  <c r="G84" i="2" a="1"/>
  <c r="G84" i="2" s="1"/>
  <c r="I84" i="2" s="1"/>
  <c r="E73" i="2"/>
  <c r="E75" i="2" l="1"/>
  <c r="I90" i="2"/>
  <c r="E4" i="2" s="1"/>
</calcChain>
</file>

<file path=xl/sharedStrings.xml><?xml version="1.0" encoding="utf-8"?>
<sst xmlns="http://schemas.openxmlformats.org/spreadsheetml/2006/main" count="81" uniqueCount="70">
  <si>
    <t>Category 1 - Layout and design</t>
  </si>
  <si>
    <t>Category 2 - Contents and language</t>
  </si>
  <si>
    <t>Category 3 - Activities</t>
  </si>
  <si>
    <t>Category 4 - Helping students</t>
  </si>
  <si>
    <t>Category 5 - Helping instructors</t>
  </si>
  <si>
    <t>Category 6 - Avanti like</t>
  </si>
  <si>
    <t>Category subtotal</t>
  </si>
  <si>
    <t>Cat %</t>
  </si>
  <si>
    <t>Max</t>
  </si>
  <si>
    <t>Total</t>
  </si>
  <si>
    <t>Overall assessment</t>
  </si>
  <si>
    <t>Assessment frequency summary</t>
  </si>
  <si>
    <t>Category frequency total</t>
  </si>
  <si>
    <t>Average %</t>
  </si>
  <si>
    <t>Textbook Assessment</t>
  </si>
  <si>
    <t>Text:</t>
  </si>
  <si>
    <t>The layout is logical, supportive and consistent.</t>
  </si>
  <si>
    <t>The textbook reflects a high standard of professional production qualities.</t>
  </si>
  <si>
    <t>Staff:</t>
  </si>
  <si>
    <t>Item 01.</t>
  </si>
  <si>
    <t>Item 02.</t>
  </si>
  <si>
    <t>Item 03.</t>
  </si>
  <si>
    <t>Item 04.</t>
  </si>
  <si>
    <t>Item 05.</t>
  </si>
  <si>
    <t>Item 06.</t>
  </si>
  <si>
    <t>Item 07.</t>
  </si>
  <si>
    <t>Item 08.</t>
  </si>
  <si>
    <t>Item 09.</t>
  </si>
  <si>
    <t>The textbook has meaningful and practical learning activities that encourage students to integrate, practice and apply new knowledge.</t>
  </si>
  <si>
    <t>The textbook provides up-to-date and relevant contents, language and images.</t>
  </si>
  <si>
    <t>The textbook reflects sensitivity to differences in culture, race, gender, age, sex, regliion, etc.</t>
  </si>
  <si>
    <t>The textbook allows for extended and deeper learning beyond the content.</t>
  </si>
  <si>
    <t>Item 10.</t>
  </si>
  <si>
    <t>Item 11.</t>
  </si>
  <si>
    <t>Item 12.</t>
  </si>
  <si>
    <t>The textbook addresses different learning styles through its variety of activities and activity types.</t>
  </si>
  <si>
    <t>The textbook contains activities that are readily scalable or extendable.</t>
  </si>
  <si>
    <t>Item 13.</t>
  </si>
  <si>
    <t>Item 14.</t>
  </si>
  <si>
    <t>Item 15.</t>
  </si>
  <si>
    <t>The textbook is highly valued by students.</t>
  </si>
  <si>
    <t>The textbook supports students' preparation, in-class learning, and revision.</t>
  </si>
  <si>
    <t>The textbook encourages creative thinking, critical thinking and self-reflection.</t>
  </si>
  <si>
    <t>Item 16.</t>
  </si>
  <si>
    <t>item 17.</t>
  </si>
  <si>
    <t>The textbook is readily teachable (requires little or no training, and minimal preparation).</t>
  </si>
  <si>
    <t>The textbook allows for various teaching scenarios (single-student classes, pair work, e-learning, self-study, etc.).</t>
  </si>
  <si>
    <t>Item 18.</t>
  </si>
  <si>
    <t>Item 19.</t>
  </si>
  <si>
    <t>The textbook is easily recognised as an Avanti Staff resource.</t>
  </si>
  <si>
    <t>Category</t>
  </si>
  <si>
    <t>The textbooks is understandable.</t>
  </si>
  <si>
    <t>The content of the textbook is grounded in commonly accepted theory and practice.</t>
    <phoneticPr fontId="6"/>
  </si>
  <si>
    <t xml:space="preserve">The textbook promotes the Avanti Staff brand.　　 </t>
    <phoneticPr fontId="6"/>
  </si>
  <si>
    <t>The design of the textbook supports both instructors and students.</t>
  </si>
  <si>
    <t>The content of the textbook supports both instructors and students.</t>
  </si>
  <si>
    <t>The textbook reinforces positive values and attitudes.</t>
  </si>
  <si>
    <t>Item 20.</t>
  </si>
  <si>
    <t>Item 21.</t>
  </si>
  <si>
    <t>Item 22</t>
  </si>
  <si>
    <t>Textbook and edition</t>
  </si>
  <si>
    <t>Your name</t>
  </si>
  <si>
    <t>Date of assessment</t>
  </si>
  <si>
    <t>Item 23.</t>
  </si>
  <si>
    <t>Item 24.</t>
  </si>
  <si>
    <t>The textbook has a clearly stated purpose and objectives.</t>
  </si>
  <si>
    <t>The textbook has a clearly indicated audience.</t>
  </si>
  <si>
    <t>Date:</t>
  </si>
  <si>
    <t>The textbook's content is interesting and informative.</t>
  </si>
  <si>
    <t>The textbook's contents are arranged logically and practically.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</si>
</sst>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 d\,\ yyyy;@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3">
    <xf numFmtId="0" fontId="0" fillId="0" borderId="0" xfId="0"/>
    <xf numFmtId="0" fontId="1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4" fillId="0" borderId="0" xfId="0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9" fontId="0" fillId="0" borderId="0" xfId="0" applyNumberFormat="1" applyFont="1" applyAlignment="1">
      <alignment horizontal="right" vertical="center"/>
    </xf>
    <xf numFmtId="9" fontId="0" fillId="0" borderId="1" xfId="0" applyNumberFormat="1" applyBorder="1" applyAlignment="1">
      <alignment horizontal="center" vertical="center"/>
    </xf>
    <xf numFmtId="9" fontId="0" fillId="0" borderId="1" xfId="1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9" fontId="0" fillId="0" borderId="0" xfId="1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/>
    <xf numFmtId="9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1" fillId="0" borderId="0" xfId="0" applyFont="1" applyBorder="1"/>
    <xf numFmtId="0" fontId="1" fillId="0" borderId="0" xfId="0" applyFont="1" applyBorder="1" applyAlignment="1">
      <alignment horizontal="left" vertical="top"/>
    </xf>
    <xf numFmtId="9" fontId="1" fillId="0" borderId="2" xfId="0" applyNumberFormat="1" applyFont="1" applyBorder="1" applyAlignment="1">
      <alignment horizontal="center" vertical="center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0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0" fontId="2" fillId="0" borderId="1" xfId="0" applyFont="1" applyBorder="1" applyAlignment="1">
      <alignment horizontal="center" vertical="center"/>
    </xf>
    <xf numFmtId="164" fontId="0" fillId="0" borderId="0" xfId="0" applyNumberForma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horizontal="left" vertical="top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vertical="top" wrapText="1"/>
    </xf>
    <xf numFmtId="0" fontId="7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0" fillId="0" borderId="1" xfId="0" applyBorder="1" applyAlignment="1">
      <alignment horizontal="center" vertical="center"/>
    </xf>
    <xf numFmtId="9" fontId="5" fillId="0" borderId="4" xfId="0" applyNumberFormat="1" applyFont="1" applyBorder="1" applyAlignment="1">
      <alignment horizontal="center" vertical="center"/>
    </xf>
    <xf numFmtId="9" fontId="5" fillId="0" borderId="10" xfId="0" applyNumberFormat="1" applyFont="1" applyBorder="1" applyAlignment="1">
      <alignment horizontal="center" vertical="center"/>
    </xf>
    <xf numFmtId="9" fontId="5" fillId="0" borderId="5" xfId="0" applyNumberFormat="1" applyFont="1" applyBorder="1" applyAlignment="1">
      <alignment horizontal="center" vertical="center"/>
    </xf>
    <xf numFmtId="9" fontId="5" fillId="0" borderId="6" xfId="0" applyNumberFormat="1" applyFont="1" applyBorder="1" applyAlignment="1">
      <alignment horizontal="center" vertical="center"/>
    </xf>
    <xf numFmtId="9" fontId="5" fillId="0" borderId="0" xfId="0" applyNumberFormat="1" applyFont="1" applyBorder="1" applyAlignment="1">
      <alignment horizontal="center" vertical="center"/>
    </xf>
    <xf numFmtId="9" fontId="5" fillId="0" borderId="7" xfId="0" applyNumberFormat="1" applyFont="1" applyBorder="1" applyAlignment="1">
      <alignment horizontal="center" vertical="center"/>
    </xf>
    <xf numFmtId="9" fontId="5" fillId="0" borderId="8" xfId="0" applyNumberFormat="1" applyFont="1" applyBorder="1" applyAlignment="1">
      <alignment horizontal="center" vertical="center"/>
    </xf>
    <xf numFmtId="9" fontId="5" fillId="0" borderId="11" xfId="0" applyNumberFormat="1" applyFont="1" applyBorder="1" applyAlignment="1">
      <alignment horizontal="center" vertical="center"/>
    </xf>
    <xf numFmtId="9" fontId="5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TextbookEvalForm!$C$4</c:f>
          <c:strCache>
            <c:ptCount val="1"/>
            <c:pt idx="0">
              <c:v>Textbook and edition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3891086341895151E-2"/>
          <c:y val="0.15782407407407409"/>
          <c:w val="0.91299360167502452"/>
          <c:h val="0.61917432195975508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TextbookEvalForm!$B$66:$B$71</c:f>
              <c:strCache>
                <c:ptCount val="6"/>
                <c:pt idx="0">
                  <c:v>Category 1 - Layout and design</c:v>
                </c:pt>
                <c:pt idx="1">
                  <c:v>Category 2 - Contents and language</c:v>
                </c:pt>
                <c:pt idx="2">
                  <c:v>Category 3 - Activities</c:v>
                </c:pt>
                <c:pt idx="3">
                  <c:v>Category 4 - Helping students</c:v>
                </c:pt>
                <c:pt idx="4">
                  <c:v>Category 5 - Helping instructors</c:v>
                </c:pt>
                <c:pt idx="5">
                  <c:v>Category 6 - Avanti like</c:v>
                </c:pt>
              </c:strCache>
            </c:strRef>
          </c:cat>
          <c:val>
            <c:numRef>
              <c:f>TextbookEvalForm!$I$83:$I$88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85852304"/>
        <c:axId val="285854264"/>
        <c:axId val="0"/>
      </c:bar3DChart>
      <c:catAx>
        <c:axId val="2858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5854264"/>
        <c:crosses val="autoZero"/>
        <c:auto val="1"/>
        <c:lblAlgn val="ctr"/>
        <c:lblOffset val="100"/>
        <c:noMultiLvlLbl val="0"/>
      </c:catAx>
      <c:valAx>
        <c:axId val="2858542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58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61911</xdr:colOff>
      <xdr:row>74</xdr:row>
      <xdr:rowOff>80962</xdr:rowOff>
    </xdr:from>
    <xdr:to>
      <xdr:col>2</xdr:col>
      <xdr:colOff>5524499</xdr:colOff>
      <xdr:row>89</xdr:row>
      <xdr:rowOff>157162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19051</xdr:colOff>
      <xdr:row>2</xdr:row>
      <xdr:rowOff>190500</xdr:rowOff>
    </xdr:from>
    <xdr:to>
      <xdr:col>13</xdr:col>
      <xdr:colOff>238125</xdr:colOff>
      <xdr:row>6</xdr:row>
      <xdr:rowOff>0</xdr:rowOff>
    </xdr:to>
    <xdr:sp macro="" textlink="">
      <xdr:nvSpPr>
        <xdr:cNvPr id="3" name="Rounded Rectangle 2"/>
        <xdr:cNvSpPr/>
      </xdr:nvSpPr>
      <xdr:spPr>
        <a:xfrm>
          <a:off x="10214611" y="556260"/>
          <a:ext cx="1796414" cy="57912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Single-click </a:t>
          </a:r>
          <a:r>
            <a:rPr lang="en-US" sz="1100" baseline="0"/>
            <a:t>the cells in the boxes below.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3</xdr:row>
          <xdr:rowOff>0</xdr:rowOff>
        </xdr:from>
        <xdr:to>
          <xdr:col>16</xdr:col>
          <xdr:colOff>438150</xdr:colOff>
          <xdr:row>5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K92"/>
  <sheetViews>
    <sheetView tabSelected="1" zoomScale="85" zoomScaleNormal="85" zoomScaleSheetLayoutView="70" workbookViewId="0">
      <pane ySplit="7" topLeftCell="A50" activePane="bottomLeft" state="frozen"/>
      <selection pane="bottomLeft" activeCell="N16" sqref="N16"/>
    </sheetView>
  </sheetViews>
  <sheetFormatPr defaultRowHeight="15"/>
  <cols>
    <col min="1" max="1" width="3.7109375" customWidth="1"/>
    <col min="2" max="2" width="8.7109375" style="28" customWidth="1"/>
    <col min="3" max="3" width="90.7109375" style="3" customWidth="1"/>
    <col min="4" max="4" width="3.7109375" style="3" customWidth="1"/>
    <col min="5" max="9" width="7.7109375" style="7" customWidth="1"/>
    <col min="10" max="10" width="3.7109375" style="7" customWidth="1"/>
    <col min="11" max="11" width="7.7109375" style="17" customWidth="1"/>
    <col min="12" max="13" width="7.7109375" customWidth="1"/>
  </cols>
  <sheetData>
    <row r="1" spans="2:11">
      <c r="I1" s="4"/>
      <c r="J1" s="4"/>
    </row>
    <row r="2" spans="2:11" ht="18.75">
      <c r="B2" s="33" t="s">
        <v>14</v>
      </c>
      <c r="D2" s="1"/>
      <c r="F2" s="6"/>
      <c r="G2" s="6"/>
      <c r="H2" s="6"/>
      <c r="I2" s="10"/>
      <c r="J2" s="10"/>
    </row>
    <row r="3" spans="2:11" ht="15.75" thickBot="1">
      <c r="C3" s="1"/>
      <c r="D3" s="1"/>
      <c r="F3" s="6"/>
      <c r="G3" s="6"/>
      <c r="H3" s="6"/>
      <c r="I3" s="10"/>
      <c r="J3" s="10"/>
    </row>
    <row r="4" spans="2:11" ht="15" customHeight="1">
      <c r="B4" s="27" t="s">
        <v>15</v>
      </c>
      <c r="C4" s="2" t="s">
        <v>60</v>
      </c>
      <c r="D4" s="1"/>
      <c r="E4" s="44">
        <f>I90</f>
        <v>0</v>
      </c>
      <c r="F4" s="45"/>
      <c r="G4" s="45"/>
      <c r="H4" s="45"/>
      <c r="I4" s="46"/>
      <c r="J4" s="10"/>
    </row>
    <row r="5" spans="2:11" ht="15" customHeight="1">
      <c r="B5" s="27" t="s">
        <v>18</v>
      </c>
      <c r="C5" s="3" t="s">
        <v>61</v>
      </c>
      <c r="D5" s="1"/>
      <c r="E5" s="47"/>
      <c r="F5" s="48"/>
      <c r="G5" s="48"/>
      <c r="H5" s="48"/>
      <c r="I5" s="49"/>
      <c r="J5" s="10"/>
    </row>
    <row r="6" spans="2:11" ht="15.75" customHeight="1" thickBot="1">
      <c r="B6" s="27" t="s">
        <v>67</v>
      </c>
      <c r="C6" s="31" t="s">
        <v>62</v>
      </c>
      <c r="D6" s="1"/>
      <c r="E6" s="50"/>
      <c r="F6" s="51"/>
      <c r="G6" s="51"/>
      <c r="H6" s="51"/>
      <c r="I6" s="52"/>
      <c r="J6" s="10"/>
    </row>
    <row r="10" spans="2:11" s="40" customFormat="1" ht="14.25" customHeight="1">
      <c r="B10" s="37" t="s">
        <v>0</v>
      </c>
      <c r="C10" s="1"/>
      <c r="D10" s="38"/>
      <c r="E10" s="39">
        <v>1</v>
      </c>
      <c r="F10" s="39">
        <v>2</v>
      </c>
      <c r="G10" s="39">
        <v>3</v>
      </c>
      <c r="H10" s="39">
        <v>4</v>
      </c>
      <c r="I10" s="39">
        <v>5</v>
      </c>
      <c r="J10" s="20"/>
      <c r="K10" s="22"/>
    </row>
    <row r="11" spans="2:11" ht="7.5" customHeight="1"/>
    <row r="12" spans="2:11">
      <c r="B12" s="28" t="s">
        <v>19</v>
      </c>
      <c r="C12" s="3" t="s">
        <v>16</v>
      </c>
      <c r="E12" s="9"/>
      <c r="F12" s="9"/>
      <c r="G12" s="9"/>
      <c r="H12" s="9"/>
      <c r="I12" s="9"/>
      <c r="J12" s="13"/>
    </row>
    <row r="13" spans="2:11">
      <c r="B13" s="28" t="s">
        <v>20</v>
      </c>
      <c r="C13" s="3" t="s">
        <v>17</v>
      </c>
      <c r="D13" s="32"/>
      <c r="E13" s="9"/>
      <c r="F13" s="9"/>
      <c r="G13" s="9"/>
      <c r="H13" s="9"/>
      <c r="I13" s="9"/>
      <c r="J13" s="13"/>
    </row>
    <row r="14" spans="2:11">
      <c r="B14" s="28" t="s">
        <v>21</v>
      </c>
      <c r="C14" s="42" t="s">
        <v>54</v>
      </c>
      <c r="D14" s="32"/>
      <c r="E14" s="9"/>
      <c r="F14" s="9"/>
      <c r="G14" s="9"/>
      <c r="H14" s="9"/>
      <c r="I14" s="9"/>
      <c r="J14" s="13"/>
    </row>
    <row r="15" spans="2:11" ht="7.5" customHeight="1"/>
    <row r="16" spans="2:11">
      <c r="B16" s="29" t="s">
        <v>6</v>
      </c>
      <c r="I16" s="11">
        <f>SUM(SUM(COUNTA(E12:E14)*E10)+SUM(COUNTA(F12:F14)*F10)+SUM(COUNTA(G12:G14)*G10)+SUM(COUNTA(H12:H14)*H10)+SUM(COUNTA(I12:I14)*I10))/SUM(COUNTA(C12:C14)*I10)</f>
        <v>0</v>
      </c>
      <c r="J16" s="14"/>
    </row>
    <row r="18" spans="2:11" s="40" customFormat="1">
      <c r="B18" s="37" t="s">
        <v>1</v>
      </c>
      <c r="C18" s="1"/>
      <c r="D18" s="38"/>
      <c r="E18" s="39">
        <v>1</v>
      </c>
      <c r="F18" s="39">
        <v>2</v>
      </c>
      <c r="G18" s="39">
        <v>3</v>
      </c>
      <c r="H18" s="39">
        <v>4</v>
      </c>
      <c r="I18" s="39">
        <v>5</v>
      </c>
      <c r="J18" s="20"/>
      <c r="K18" s="22"/>
    </row>
    <row r="19" spans="2:11" ht="7.5" customHeight="1"/>
    <row r="20" spans="2:11">
      <c r="B20" s="28" t="s">
        <v>22</v>
      </c>
      <c r="C20" s="3" t="s">
        <v>65</v>
      </c>
      <c r="E20" s="9"/>
      <c r="F20" s="36"/>
      <c r="G20" s="36"/>
      <c r="H20" s="36"/>
      <c r="I20" s="9"/>
      <c r="J20" s="13"/>
    </row>
    <row r="21" spans="2:11">
      <c r="B21" s="28" t="s">
        <v>23</v>
      </c>
      <c r="C21" s="3" t="s">
        <v>66</v>
      </c>
      <c r="E21" s="9"/>
      <c r="F21" s="9"/>
      <c r="G21" s="36"/>
      <c r="H21" s="9"/>
      <c r="I21" s="9"/>
      <c r="J21" s="13"/>
    </row>
    <row r="22" spans="2:11">
      <c r="B22" s="28" t="s">
        <v>24</v>
      </c>
      <c r="C22" s="3" t="s">
        <v>69</v>
      </c>
      <c r="E22" s="9"/>
      <c r="F22" s="9"/>
      <c r="G22" s="9"/>
      <c r="H22" s="36"/>
      <c r="I22" s="9"/>
      <c r="J22" s="13"/>
    </row>
    <row r="23" spans="2:11">
      <c r="B23" s="28" t="s">
        <v>25</v>
      </c>
      <c r="C23" s="3" t="s">
        <v>51</v>
      </c>
      <c r="E23" s="9"/>
      <c r="F23" s="36"/>
      <c r="G23" s="9"/>
      <c r="H23" s="36"/>
      <c r="I23" s="9"/>
      <c r="J23" s="13"/>
    </row>
    <row r="24" spans="2:11">
      <c r="B24" s="28" t="s">
        <v>26</v>
      </c>
      <c r="C24" s="3" t="s">
        <v>29</v>
      </c>
      <c r="E24" s="9"/>
      <c r="F24" s="9"/>
      <c r="G24" s="36"/>
      <c r="H24" s="9"/>
      <c r="I24" s="9"/>
      <c r="J24" s="13"/>
    </row>
    <row r="25" spans="2:11">
      <c r="B25" s="28" t="s">
        <v>27</v>
      </c>
      <c r="C25" s="3" t="s">
        <v>68</v>
      </c>
      <c r="E25" s="9"/>
      <c r="F25" s="36"/>
      <c r="G25" s="9"/>
      <c r="H25" s="36"/>
      <c r="I25" s="9"/>
      <c r="J25" s="13"/>
    </row>
    <row r="26" spans="2:11">
      <c r="B26" s="28" t="s">
        <v>32</v>
      </c>
      <c r="C26" s="3" t="s">
        <v>52</v>
      </c>
      <c r="E26" s="9"/>
      <c r="F26" s="36"/>
      <c r="G26" s="9"/>
      <c r="H26" s="9"/>
      <c r="I26" s="9"/>
      <c r="J26" s="13"/>
    </row>
    <row r="27" spans="2:11">
      <c r="B27" s="28" t="s">
        <v>33</v>
      </c>
      <c r="C27" s="3" t="s">
        <v>30</v>
      </c>
      <c r="E27" s="9"/>
      <c r="F27" s="36"/>
      <c r="G27" s="36"/>
      <c r="H27" s="9"/>
      <c r="I27" s="9"/>
      <c r="J27" s="13"/>
    </row>
    <row r="28" spans="2:11">
      <c r="B28" s="28" t="s">
        <v>34</v>
      </c>
      <c r="C28" s="3" t="s">
        <v>31</v>
      </c>
      <c r="E28" s="9"/>
      <c r="F28" s="36"/>
      <c r="G28" s="36"/>
      <c r="H28" s="9"/>
      <c r="I28" s="9"/>
      <c r="J28" s="13"/>
    </row>
    <row r="29" spans="2:11">
      <c r="B29" s="28" t="s">
        <v>37</v>
      </c>
      <c r="C29" s="3" t="s">
        <v>55</v>
      </c>
      <c r="E29" s="9"/>
      <c r="F29" s="36"/>
      <c r="G29" s="9"/>
      <c r="H29" s="9"/>
      <c r="I29" s="9"/>
      <c r="J29" s="13"/>
    </row>
    <row r="30" spans="2:11" ht="7.5" customHeight="1"/>
    <row r="31" spans="2:11">
      <c r="B31" s="29" t="s">
        <v>6</v>
      </c>
      <c r="I31" s="12">
        <f>SUM(SUM(COUNTA(E20:E29)*E18)+SUM(COUNTA(F20:F29)*F18)+SUM(COUNTA(G20:G29)*G18)+SUM(COUNTA(H20:H29)*H18)+SUM(COUNTA(I20:I29)*I18))/SUM(COUNTA(C20:C29)*I18)</f>
        <v>0</v>
      </c>
      <c r="J31" s="15"/>
    </row>
    <row r="33" spans="2:11" s="40" customFormat="1">
      <c r="B33" s="41" t="s">
        <v>2</v>
      </c>
      <c r="C33" s="1"/>
      <c r="D33" s="38"/>
      <c r="E33" s="39">
        <v>1</v>
      </c>
      <c r="F33" s="39">
        <v>2</v>
      </c>
      <c r="G33" s="39">
        <v>3</v>
      </c>
      <c r="H33" s="39">
        <v>4</v>
      </c>
      <c r="I33" s="39">
        <v>5</v>
      </c>
      <c r="J33" s="20"/>
      <c r="K33" s="22"/>
    </row>
    <row r="34" spans="2:11" ht="7.5" customHeight="1"/>
    <row r="35" spans="2:11" ht="30">
      <c r="B35" s="28" t="s">
        <v>38</v>
      </c>
      <c r="C35" s="3" t="s">
        <v>28</v>
      </c>
      <c r="E35" s="9"/>
      <c r="F35" s="9"/>
      <c r="G35" s="9"/>
      <c r="H35" s="9"/>
      <c r="I35" s="9"/>
      <c r="J35" s="13"/>
    </row>
    <row r="36" spans="2:11">
      <c r="B36" s="28" t="s">
        <v>39</v>
      </c>
      <c r="C36" s="3" t="s">
        <v>35</v>
      </c>
      <c r="E36" s="9"/>
      <c r="F36" s="36"/>
      <c r="G36" s="9"/>
      <c r="H36" s="9"/>
      <c r="I36" s="9"/>
      <c r="J36" s="13"/>
    </row>
    <row r="37" spans="2:11">
      <c r="B37" s="28" t="s">
        <v>43</v>
      </c>
      <c r="C37" s="3" t="s">
        <v>36</v>
      </c>
      <c r="E37" s="9"/>
      <c r="F37" s="36"/>
      <c r="G37" s="9"/>
      <c r="H37" s="9"/>
      <c r="I37" s="9"/>
      <c r="J37" s="13"/>
    </row>
    <row r="38" spans="2:11" ht="7.5" customHeight="1">
      <c r="E38" s="8"/>
      <c r="F38" s="8"/>
      <c r="G38" s="8"/>
      <c r="H38" s="8"/>
      <c r="I38" s="8"/>
      <c r="J38" s="8"/>
    </row>
    <row r="39" spans="2:11">
      <c r="B39" s="29" t="s">
        <v>6</v>
      </c>
      <c r="I39" s="11">
        <f>SUM(SUM(COUNTA(E35:E37)*E33)+SUM(COUNTA(F35:F37)*F33)+SUM(COUNTA(G35:G37)*G33)+SUM(COUNTA(H35:H37)*H33)+SUM(COUNTA(I35:I37)*I33))/SUM(COUNTA(C35:C37)*I33)</f>
        <v>0</v>
      </c>
      <c r="J39" s="14"/>
    </row>
    <row r="41" spans="2:11" s="40" customFormat="1">
      <c r="B41" s="37" t="s">
        <v>3</v>
      </c>
      <c r="C41" s="1"/>
      <c r="D41" s="38"/>
      <c r="E41" s="39">
        <v>1</v>
      </c>
      <c r="F41" s="39">
        <v>2</v>
      </c>
      <c r="G41" s="39">
        <v>3</v>
      </c>
      <c r="H41" s="39">
        <v>4</v>
      </c>
      <c r="I41" s="39">
        <v>5</v>
      </c>
      <c r="J41" s="20"/>
      <c r="K41" s="22"/>
    </row>
    <row r="42" spans="2:11" ht="7.5" customHeight="1"/>
    <row r="43" spans="2:11">
      <c r="B43" s="28" t="s">
        <v>44</v>
      </c>
      <c r="C43" s="3" t="s">
        <v>40</v>
      </c>
      <c r="E43" s="9"/>
      <c r="F43" s="36"/>
      <c r="G43" s="36"/>
      <c r="H43" s="9"/>
      <c r="I43" s="9"/>
      <c r="J43" s="13"/>
    </row>
    <row r="44" spans="2:11">
      <c r="B44" s="28" t="s">
        <v>47</v>
      </c>
      <c r="C44" s="3" t="s">
        <v>41</v>
      </c>
      <c r="E44" s="9"/>
      <c r="F44" s="36"/>
      <c r="G44" s="9"/>
      <c r="H44" s="36"/>
      <c r="I44" s="9"/>
      <c r="J44" s="8"/>
    </row>
    <row r="45" spans="2:11">
      <c r="B45" s="28" t="s">
        <v>48</v>
      </c>
      <c r="C45" s="3" t="s">
        <v>42</v>
      </c>
      <c r="E45" s="9"/>
      <c r="F45" s="9"/>
      <c r="G45" s="36"/>
      <c r="H45" s="9"/>
      <c r="I45" s="9"/>
      <c r="J45" s="13"/>
    </row>
    <row r="46" spans="2:11">
      <c r="B46" s="28" t="s">
        <v>57</v>
      </c>
      <c r="C46" s="3" t="s">
        <v>56</v>
      </c>
      <c r="E46" s="9"/>
      <c r="F46" s="36"/>
      <c r="G46" s="9"/>
      <c r="H46" s="9"/>
      <c r="I46" s="9"/>
      <c r="J46" s="13"/>
    </row>
    <row r="47" spans="2:11" ht="7.5" customHeight="1">
      <c r="E47" s="8"/>
      <c r="F47" s="13"/>
      <c r="G47" s="8"/>
      <c r="H47" s="8"/>
      <c r="I47" s="8"/>
      <c r="J47" s="8"/>
    </row>
    <row r="48" spans="2:11">
      <c r="B48" s="29" t="s">
        <v>6</v>
      </c>
      <c r="E48" s="4"/>
      <c r="I48" s="11">
        <f>SUM(SUM(COUNTA(E43:E46)*E41)+SUM(COUNTA(F43:F46)*F41)+SUM(COUNTA(G43:G46)*G41)+SUM(COUNTA(H43:H46)*H41)+SUM(COUNTA(I43:I46)*I41))/SUM(COUNTA(C43:C46)*I41)</f>
        <v>0</v>
      </c>
      <c r="J48" s="14"/>
    </row>
    <row r="50" spans="2:11" s="40" customFormat="1">
      <c r="B50" s="37" t="s">
        <v>4</v>
      </c>
      <c r="C50" s="1"/>
      <c r="D50" s="38"/>
      <c r="E50" s="39">
        <v>1</v>
      </c>
      <c r="F50" s="39">
        <v>2</v>
      </c>
      <c r="G50" s="39">
        <v>3</v>
      </c>
      <c r="H50" s="39">
        <v>4</v>
      </c>
      <c r="I50" s="39">
        <v>5</v>
      </c>
      <c r="J50" s="20"/>
      <c r="K50" s="22"/>
    </row>
    <row r="51" spans="2:11" ht="7.5" customHeight="1"/>
    <row r="52" spans="2:11">
      <c r="B52" s="28" t="s">
        <v>58</v>
      </c>
      <c r="C52" s="3" t="s">
        <v>45</v>
      </c>
      <c r="E52" s="9"/>
      <c r="F52" s="9"/>
      <c r="G52" s="36"/>
      <c r="H52" s="9"/>
      <c r="I52" s="9"/>
      <c r="J52" s="13"/>
    </row>
    <row r="53" spans="2:11" ht="30">
      <c r="B53" s="28" t="s">
        <v>59</v>
      </c>
      <c r="C53" s="3" t="s">
        <v>46</v>
      </c>
      <c r="E53" s="9"/>
      <c r="F53" s="36"/>
      <c r="G53" s="36"/>
      <c r="H53" s="36"/>
      <c r="I53" s="9"/>
      <c r="J53" s="13"/>
    </row>
    <row r="54" spans="2:11" ht="7.5" customHeight="1">
      <c r="E54" s="8"/>
      <c r="F54" s="8"/>
      <c r="G54" s="8"/>
      <c r="H54" s="8"/>
      <c r="I54" s="8"/>
      <c r="J54" s="8"/>
    </row>
    <row r="55" spans="2:11">
      <c r="B55" s="29" t="s">
        <v>6</v>
      </c>
      <c r="I55" s="11">
        <f>SUM(SUM(COUNTA(E52:E53)*E50)+SUM(COUNTA(F52:F53)*F50)+SUM(COUNTA(G52:G53)*G50)+SUM(COUNTA(H52:H53)*H50)+SUM(COUNTA(I52:I53)*I50))/SUM(COUNTA(C52:C53)*I50)</f>
        <v>0</v>
      </c>
      <c r="J55" s="14"/>
    </row>
    <row r="57" spans="2:11" s="40" customFormat="1">
      <c r="B57" s="37" t="s">
        <v>5</v>
      </c>
      <c r="C57" s="1"/>
      <c r="D57" s="38"/>
      <c r="E57" s="39">
        <v>1</v>
      </c>
      <c r="F57" s="39">
        <v>2</v>
      </c>
      <c r="G57" s="39">
        <v>3</v>
      </c>
      <c r="H57" s="39">
        <v>4</v>
      </c>
      <c r="I57" s="39">
        <v>5</v>
      </c>
      <c r="J57" s="20"/>
      <c r="K57" s="22"/>
    </row>
    <row r="58" spans="2:11" ht="7.5" customHeight="1"/>
    <row r="59" spans="2:11">
      <c r="B59" s="28" t="s">
        <v>63</v>
      </c>
      <c r="C59" s="3" t="s">
        <v>53</v>
      </c>
      <c r="E59" s="9"/>
      <c r="F59" s="36"/>
      <c r="G59" s="9"/>
      <c r="H59" s="9"/>
      <c r="I59" s="9"/>
      <c r="J59" s="8"/>
    </row>
    <row r="60" spans="2:11">
      <c r="B60" s="28" t="s">
        <v>64</v>
      </c>
      <c r="C60" s="3" t="s">
        <v>49</v>
      </c>
      <c r="E60" s="9"/>
      <c r="F60" s="36"/>
      <c r="G60" s="9"/>
      <c r="H60" s="36"/>
      <c r="I60" s="9"/>
      <c r="J60" s="8"/>
    </row>
    <row r="61" spans="2:11" ht="7.5" customHeight="1">
      <c r="E61" s="8"/>
      <c r="F61" s="8"/>
      <c r="G61" s="8"/>
      <c r="H61" s="8"/>
      <c r="I61" s="8"/>
      <c r="J61" s="8"/>
    </row>
    <row r="62" spans="2:11">
      <c r="B62" s="29" t="s">
        <v>6</v>
      </c>
      <c r="I62" s="11">
        <f>SUM(SUM(COUNTA(E59:E60)*E57)+SUM(COUNTA(F59:F60)*F57)+SUM(COUNTA(G59:G60)*G57)+SUM(COUNTA(H59:H60)*H57)+SUM(COUNTA(I59:I60)*I57))/SUM(COUNTA(C59:C60)*I57)</f>
        <v>0</v>
      </c>
      <c r="J62" s="14"/>
    </row>
    <row r="64" spans="2:11">
      <c r="B64" s="25" t="s">
        <v>11</v>
      </c>
      <c r="D64" s="1"/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16"/>
    </row>
    <row r="65" spans="2:10" ht="7.5" customHeight="1">
      <c r="B65" s="29"/>
      <c r="J65" s="8"/>
    </row>
    <row r="66" spans="2:10">
      <c r="B66" s="26" t="s">
        <v>0</v>
      </c>
      <c r="D66" s="2"/>
      <c r="E66" s="34">
        <f>COUNTA(E12:E14)</f>
        <v>0</v>
      </c>
      <c r="F66" s="35">
        <f>COUNTA(F12:F14)</f>
        <v>0</v>
      </c>
      <c r="G66" s="35">
        <f>COUNTA(G12:G14)</f>
        <v>0</v>
      </c>
      <c r="H66" s="35">
        <f>COUNTA(H12:H14)</f>
        <v>0</v>
      </c>
      <c r="I66" s="35">
        <f>COUNTA(I12:I14)</f>
        <v>0</v>
      </c>
      <c r="J66" s="16"/>
    </row>
    <row r="67" spans="2:10">
      <c r="B67" s="26" t="s">
        <v>1</v>
      </c>
      <c r="D67" s="2"/>
      <c r="E67" s="34">
        <f>COUNTA(E20:E29)</f>
        <v>0</v>
      </c>
      <c r="F67" s="35">
        <f t="shared" ref="F67:I67" si="0">COUNTA(F20:F29)</f>
        <v>0</v>
      </c>
      <c r="G67" s="35">
        <f t="shared" si="0"/>
        <v>0</v>
      </c>
      <c r="H67" s="35">
        <f t="shared" si="0"/>
        <v>0</v>
      </c>
      <c r="I67" s="35">
        <f t="shared" si="0"/>
        <v>0</v>
      </c>
      <c r="J67" s="16"/>
    </row>
    <row r="68" spans="2:10">
      <c r="B68" s="26" t="s">
        <v>2</v>
      </c>
      <c r="D68" s="2"/>
      <c r="E68" s="34">
        <f>COUNTA(E35:E37)</f>
        <v>0</v>
      </c>
      <c r="F68" s="34">
        <f t="shared" ref="F68:I68" si="1">COUNTA(F35:F37)</f>
        <v>0</v>
      </c>
      <c r="G68" s="34">
        <f t="shared" si="1"/>
        <v>0</v>
      </c>
      <c r="H68" s="34">
        <f t="shared" si="1"/>
        <v>0</v>
      </c>
      <c r="I68" s="34">
        <f t="shared" si="1"/>
        <v>0</v>
      </c>
      <c r="J68" s="16"/>
    </row>
    <row r="69" spans="2:10">
      <c r="B69" s="26" t="s">
        <v>3</v>
      </c>
      <c r="D69" s="2"/>
      <c r="E69" s="34">
        <f>COUNTA(E43:E46)</f>
        <v>0</v>
      </c>
      <c r="F69" s="35">
        <f t="shared" ref="F69:I69" si="2">COUNTA(F43:F46)</f>
        <v>0</v>
      </c>
      <c r="G69" s="35">
        <f t="shared" si="2"/>
        <v>0</v>
      </c>
      <c r="H69" s="35">
        <f t="shared" si="2"/>
        <v>0</v>
      </c>
      <c r="I69" s="35">
        <f t="shared" si="2"/>
        <v>0</v>
      </c>
      <c r="J69" s="16"/>
    </row>
    <row r="70" spans="2:10">
      <c r="B70" s="26" t="s">
        <v>4</v>
      </c>
      <c r="D70" s="2"/>
      <c r="E70" s="34">
        <f>COUNTA(E52:E53)</f>
        <v>0</v>
      </c>
      <c r="F70" s="34">
        <f t="shared" ref="F70:I70" si="3">COUNTA(F52:F53)</f>
        <v>0</v>
      </c>
      <c r="G70" s="34">
        <f t="shared" si="3"/>
        <v>0</v>
      </c>
      <c r="H70" s="34">
        <f t="shared" si="3"/>
        <v>0</v>
      </c>
      <c r="I70" s="34">
        <f t="shared" si="3"/>
        <v>0</v>
      </c>
      <c r="J70" s="16"/>
    </row>
    <row r="71" spans="2:10">
      <c r="B71" s="26" t="s">
        <v>5</v>
      </c>
      <c r="D71" s="2"/>
      <c r="E71" s="34">
        <f>COUNTA(E59:E60)</f>
        <v>0</v>
      </c>
      <c r="F71" s="34">
        <f t="shared" ref="F71:I71" si="4">COUNTA(F59:F60)</f>
        <v>0</v>
      </c>
      <c r="G71" s="34">
        <f t="shared" si="4"/>
        <v>0</v>
      </c>
      <c r="H71" s="34">
        <f t="shared" si="4"/>
        <v>0</v>
      </c>
      <c r="I71" s="34">
        <f t="shared" si="4"/>
        <v>0</v>
      </c>
      <c r="J71" s="16"/>
    </row>
    <row r="72" spans="2:10">
      <c r="B72" s="26"/>
      <c r="D72" s="2"/>
      <c r="E72" s="8"/>
      <c r="F72" s="8"/>
      <c r="G72" s="8"/>
      <c r="H72" s="8"/>
      <c r="I72" s="8"/>
      <c r="J72" s="8"/>
    </row>
    <row r="73" spans="2:10">
      <c r="B73" s="25" t="s">
        <v>12</v>
      </c>
      <c r="E73" s="19">
        <f>SUM(E66:E71)</f>
        <v>0</v>
      </c>
      <c r="F73" s="19">
        <f t="shared" ref="F73:I73" si="5">SUM(F66:F71)</f>
        <v>0</v>
      </c>
      <c r="G73" s="19">
        <f t="shared" si="5"/>
        <v>0</v>
      </c>
      <c r="H73" s="19">
        <f t="shared" si="5"/>
        <v>0</v>
      </c>
      <c r="I73" s="19">
        <f t="shared" si="5"/>
        <v>0</v>
      </c>
    </row>
    <row r="74" spans="2:10">
      <c r="C74" s="1"/>
      <c r="E74" s="20"/>
      <c r="F74" s="20"/>
      <c r="G74" s="20"/>
      <c r="H74" s="20"/>
      <c r="I74" s="20"/>
    </row>
    <row r="75" spans="2:10">
      <c r="C75" s="1"/>
      <c r="E75" s="23" t="str">
        <f>SUM(E73:I73) &amp; " / 24 items answered"</f>
        <v>0 / 24 items answered</v>
      </c>
      <c r="F75" s="20"/>
      <c r="G75" s="20"/>
      <c r="H75" s="20"/>
      <c r="I75" s="20"/>
    </row>
    <row r="76" spans="2:10">
      <c r="C76" s="1"/>
      <c r="E76" s="20"/>
      <c r="F76" s="20"/>
      <c r="G76" s="20"/>
      <c r="H76" s="20"/>
      <c r="I76" s="20"/>
    </row>
    <row r="77" spans="2:10">
      <c r="C77" s="1"/>
      <c r="E77" s="20"/>
      <c r="F77" s="20"/>
      <c r="G77" s="20"/>
      <c r="H77" s="20"/>
      <c r="I77" s="20"/>
    </row>
    <row r="78" spans="2:10">
      <c r="C78" s="1"/>
      <c r="E78" s="20"/>
      <c r="F78" s="20"/>
      <c r="G78" s="20"/>
      <c r="H78" s="20"/>
      <c r="I78" s="20"/>
    </row>
    <row r="79" spans="2:10">
      <c r="C79" s="1"/>
      <c r="E79" s="21" t="s">
        <v>10</v>
      </c>
      <c r="G79" s="20"/>
      <c r="H79" s="20"/>
      <c r="I79" s="20"/>
    </row>
    <row r="80" spans="2:10" ht="7.5" customHeight="1">
      <c r="I80" s="8"/>
      <c r="J80" s="8"/>
    </row>
    <row r="81" spans="5:9">
      <c r="E81" s="43" t="s">
        <v>50</v>
      </c>
      <c r="F81" s="43"/>
      <c r="G81" s="34" t="s">
        <v>9</v>
      </c>
      <c r="H81" s="34" t="s">
        <v>8</v>
      </c>
      <c r="I81" s="34" t="s">
        <v>7</v>
      </c>
    </row>
    <row r="82" spans="5:9">
      <c r="G82" s="8"/>
    </row>
    <row r="83" spans="5:9">
      <c r="E83" s="43">
        <v>1</v>
      </c>
      <c r="F83" s="43"/>
      <c r="G83" s="34">
        <f t="array" ref="G83">SUM(E64:I64*E66:I66)</f>
        <v>0</v>
      </c>
      <c r="H83" s="34">
        <f>SUM(COUNTA(C12:C14)*I10)</f>
        <v>15</v>
      </c>
      <c r="I83" s="11">
        <f t="shared" ref="I83:I88" si="6">SUM(G83/H83)</f>
        <v>0</v>
      </c>
    </row>
    <row r="84" spans="5:9">
      <c r="E84" s="43">
        <v>2</v>
      </c>
      <c r="F84" s="43"/>
      <c r="G84" s="34">
        <f t="array" ref="G84">SUM(E64:I64*E67:I67)</f>
        <v>0</v>
      </c>
      <c r="H84" s="34">
        <f>SUM(COUNTA(C20:C29)*I18)</f>
        <v>50</v>
      </c>
      <c r="I84" s="11">
        <f t="shared" si="6"/>
        <v>0</v>
      </c>
    </row>
    <row r="85" spans="5:9">
      <c r="E85" s="43">
        <v>3</v>
      </c>
      <c r="F85" s="43"/>
      <c r="G85" s="34">
        <f t="array" ref="G85">SUM(E64:I64*E68:I68)</f>
        <v>0</v>
      </c>
      <c r="H85" s="34">
        <f>SUM(COUNTA(C35:C37)*I33)</f>
        <v>15</v>
      </c>
      <c r="I85" s="11">
        <f t="shared" si="6"/>
        <v>0</v>
      </c>
    </row>
    <row r="86" spans="5:9">
      <c r="E86" s="43">
        <v>4</v>
      </c>
      <c r="F86" s="43"/>
      <c r="G86" s="34">
        <f t="array" ref="G86">SUM(E64:I64*E69:I69)</f>
        <v>0</v>
      </c>
      <c r="H86" s="34">
        <f>SUM(COUNTA(C43:C46)*I41)</f>
        <v>20</v>
      </c>
      <c r="I86" s="11">
        <f t="shared" si="6"/>
        <v>0</v>
      </c>
    </row>
    <row r="87" spans="5:9">
      <c r="E87" s="43">
        <v>5</v>
      </c>
      <c r="F87" s="43"/>
      <c r="G87" s="34">
        <f t="array" ref="G87">SUM(E64:I64*E70:I70)</f>
        <v>0</v>
      </c>
      <c r="H87" s="34">
        <f>SUM(COUNTA(C52:C53)*I50)</f>
        <v>10</v>
      </c>
      <c r="I87" s="11">
        <f t="shared" si="6"/>
        <v>0</v>
      </c>
    </row>
    <row r="88" spans="5:9">
      <c r="E88" s="43">
        <v>6</v>
      </c>
      <c r="F88" s="43"/>
      <c r="G88" s="34">
        <f t="array" ref="G88">SUM(E64:I64*E71:I71)</f>
        <v>0</v>
      </c>
      <c r="H88" s="34">
        <f>SUM(COUNTA(C59:C60)*I64)</f>
        <v>10</v>
      </c>
      <c r="I88" s="11">
        <f t="shared" si="6"/>
        <v>0</v>
      </c>
    </row>
    <row r="89" spans="5:9" ht="15.75" thickBot="1">
      <c r="G89" s="17"/>
      <c r="H89"/>
      <c r="I89" s="18"/>
    </row>
    <row r="90" spans="5:9" ht="15.75" thickBot="1">
      <c r="E90" s="23" t="s">
        <v>13</v>
      </c>
      <c r="G90" s="22"/>
      <c r="H90" s="22"/>
      <c r="I90" s="24">
        <f>AVERAGE(I83:I88)</f>
        <v>0</v>
      </c>
    </row>
    <row r="92" spans="5:9">
      <c r="I92" s="5"/>
    </row>
  </sheetData>
  <protectedRanges>
    <protectedRange sqref="E12:H12 E13:F14 H13:I14" name="Range1"/>
  </protectedRanges>
  <mergeCells count="8">
    <mergeCell ref="E87:F87"/>
    <mergeCell ref="E88:F88"/>
    <mergeCell ref="E4:I6"/>
    <mergeCell ref="E81:F81"/>
    <mergeCell ref="E83:F83"/>
    <mergeCell ref="E84:F84"/>
    <mergeCell ref="E85:F85"/>
    <mergeCell ref="E86:F86"/>
  </mergeCells>
  <phoneticPr fontId="6"/>
  <conditionalFormatting sqref="E4:I6">
    <cfRule type="colorScale" priority="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pageMargins left="0.70866141732283472" right="0.70866141732283472" top="0.35433070866141736" bottom="0.35433070866141736" header="0.31496062992125984" footer="0.31496062992125984"/>
  <pageSetup paperSize="9" scale="61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447675</xdr:colOff>
                <xdr:row>3</xdr:row>
                <xdr:rowOff>0</xdr:rowOff>
              </from>
              <to>
                <xdr:col>16</xdr:col>
                <xdr:colOff>438150</xdr:colOff>
                <xdr:row>5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TextbookEvalForm</vt:lpstr>
      <vt:lpstr>TextbookEvalForm!Cat1_Answers</vt:lpstr>
      <vt:lpstr>TextbookEvalForm!Cat2_Answers</vt:lpstr>
      <vt:lpstr>TextbookEvalForm!Cat3_Answers</vt:lpstr>
      <vt:lpstr>TextbookEvalForm!Cat4_Answers</vt:lpstr>
      <vt:lpstr>TextbookEvalForm!Cat5_Answers</vt:lpstr>
      <vt:lpstr>TextbookEvalForm!Cat6_Answers</vt:lpstr>
      <vt:lpstr>TextbookEvalForm!Print_Area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ドブソン デイビッド</dc:creator>
  <cp:lastModifiedBy>ドブソンデイビッド</cp:lastModifiedBy>
  <cp:lastPrinted>2017-11-02T04:57:18Z</cp:lastPrinted>
  <dcterms:created xsi:type="dcterms:W3CDTF">2017-07-07T02:09:53Z</dcterms:created>
  <dcterms:modified xsi:type="dcterms:W3CDTF">2017-11-02T04:57:21Z</dcterms:modified>
</cp:coreProperties>
</file>